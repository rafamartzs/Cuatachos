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6mx\Documents\CTCHS\"/>
    </mc:Choice>
  </mc:AlternateContent>
  <xr:revisionPtr revIDLastSave="0" documentId="13_ncr:1_{B0D2F16C-7C83-4E5F-A132-FA0516176000}" xr6:coauthVersionLast="47" xr6:coauthVersionMax="47" xr10:uidLastSave="{00000000-0000-0000-0000-000000000000}"/>
  <bookViews>
    <workbookView xWindow="-110" yWindow="-110" windowWidth="19420" windowHeight="10300" xr2:uid="{6DC662A2-343A-4284-B4F3-E8BBCF4A3089}"/>
  </bookViews>
  <sheets>
    <sheet name="2" sheetId="1" r:id="rId1"/>
  </sheets>
  <definedNames>
    <definedName name="_xlnm._FilterDatabase" localSheetId="0" hidden="1">'2'!$A$1:$AD$22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3" i="1"/>
  <c r="M12" i="1"/>
  <c r="M14" i="1"/>
  <c r="M15" i="1"/>
  <c r="M16" i="1"/>
  <c r="M17" i="1"/>
  <c r="M18" i="1"/>
  <c r="M19" i="1"/>
  <c r="M20" i="1"/>
  <c r="M21" i="1"/>
  <c r="M22" i="1"/>
  <c r="M2" i="1"/>
  <c r="L3" i="1"/>
  <c r="L4" i="1"/>
  <c r="L6" i="1"/>
  <c r="L5" i="1"/>
  <c r="L7" i="1"/>
  <c r="L9" i="1"/>
  <c r="L8" i="1"/>
  <c r="L10" i="1"/>
  <c r="L13" i="1"/>
  <c r="L12" i="1"/>
  <c r="L11" i="1"/>
  <c r="L14" i="1"/>
  <c r="L16" i="1"/>
  <c r="L17" i="1"/>
  <c r="L18" i="1"/>
  <c r="L19" i="1"/>
  <c r="L20" i="1"/>
  <c r="L21" i="1"/>
  <c r="N21" i="1" s="1"/>
  <c r="L15" i="1"/>
  <c r="L22" i="1"/>
  <c r="L2" i="1"/>
  <c r="K3" i="1"/>
  <c r="K4" i="1"/>
  <c r="K7" i="1"/>
  <c r="N7" i="1" s="1"/>
  <c r="K6" i="1"/>
  <c r="K5" i="1"/>
  <c r="N5" i="1" s="1"/>
  <c r="K8" i="1"/>
  <c r="K9" i="1"/>
  <c r="K13" i="1"/>
  <c r="K12" i="1"/>
  <c r="K10" i="1"/>
  <c r="K14" i="1"/>
  <c r="K11" i="1"/>
  <c r="K17" i="1"/>
  <c r="K16" i="1"/>
  <c r="K18" i="1"/>
  <c r="K19" i="1"/>
  <c r="K20" i="1"/>
  <c r="K21" i="1"/>
  <c r="K15" i="1"/>
  <c r="K22" i="1"/>
  <c r="K2" i="1"/>
  <c r="N6" i="1" l="1"/>
  <c r="N18" i="1"/>
  <c r="N11" i="1"/>
  <c r="N2" i="1"/>
  <c r="N16" i="1"/>
  <c r="N10" i="1"/>
  <c r="N4" i="1"/>
  <c r="N20" i="1"/>
  <c r="N12" i="1"/>
  <c r="N3" i="1"/>
  <c r="N17" i="1"/>
  <c r="N19" i="1"/>
  <c r="N13" i="1"/>
  <c r="N9" i="1"/>
  <c r="N22" i="1"/>
  <c r="N14" i="1"/>
  <c r="N8" i="1"/>
  <c r="N15" i="1"/>
</calcChain>
</file>

<file path=xl/sharedStrings.xml><?xml version="1.0" encoding="utf-8"?>
<sst xmlns="http://schemas.openxmlformats.org/spreadsheetml/2006/main" count="114" uniqueCount="62">
  <si>
    <t>Nombre</t>
  </si>
  <si>
    <t>Semana 1</t>
  </si>
  <si>
    <t>Semana 2</t>
  </si>
  <si>
    <t>Subt. M 1</t>
  </si>
  <si>
    <t>Total</t>
  </si>
  <si>
    <t>Ranking 1</t>
  </si>
  <si>
    <t>Ranking 2</t>
  </si>
  <si>
    <t>Ranking Mens. 1</t>
  </si>
  <si>
    <t>Ranking general</t>
  </si>
  <si>
    <t>Sexo</t>
  </si>
  <si>
    <t>Edades</t>
  </si>
  <si>
    <t>Regiones</t>
  </si>
  <si>
    <t>Hombres</t>
  </si>
  <si>
    <t>31-40</t>
  </si>
  <si>
    <t>Qro.</t>
  </si>
  <si>
    <t>Miriam Sarreón</t>
  </si>
  <si>
    <t>Mujeres</t>
  </si>
  <si>
    <t>21-30</t>
  </si>
  <si>
    <t>S.L.P.</t>
  </si>
  <si>
    <t>Gaby Rodríguez</t>
  </si>
  <si>
    <t>Luis Sarreón</t>
  </si>
  <si>
    <t>41-50</t>
  </si>
  <si>
    <t>Tol.</t>
  </si>
  <si>
    <t>Rafa Martínez</t>
  </si>
  <si>
    <t>Joel Palomares</t>
  </si>
  <si>
    <t>Rubi Muciño</t>
  </si>
  <si>
    <t>Paco Sarreón</t>
  </si>
  <si>
    <t>Marco Salas</t>
  </si>
  <si>
    <t>Marco Olivo</t>
  </si>
  <si>
    <t>CDMX</t>
  </si>
  <si>
    <t>Delia Narváez</t>
  </si>
  <si>
    <t>Dallas</t>
  </si>
  <si>
    <t>Ver.</t>
  </si>
  <si>
    <t>Ed Guillén</t>
  </si>
  <si>
    <t>Roma Velázquez</t>
  </si>
  <si>
    <t>San Jaramillo</t>
  </si>
  <si>
    <t>May Sarreón</t>
  </si>
  <si>
    <t>Clau Martínez</t>
  </si>
  <si>
    <t>Mir Sarreón</t>
  </si>
  <si>
    <t>J.C. Guillén</t>
  </si>
  <si>
    <t>Clau Sarreón</t>
  </si>
  <si>
    <t>Jack Sarreón</t>
  </si>
  <si>
    <t>Yaz Sánchez</t>
  </si>
  <si>
    <t>Gabo Sarreón</t>
  </si>
  <si>
    <t>Semana 3</t>
  </si>
  <si>
    <t>Ranking 3</t>
  </si>
  <si>
    <t>Semana 4</t>
  </si>
  <si>
    <t>Ranking 4</t>
  </si>
  <si>
    <t>Semana 5</t>
  </si>
  <si>
    <t>Subt. M 2</t>
  </si>
  <si>
    <t>Ranking 5</t>
  </si>
  <si>
    <t>Ranking Mens. 2</t>
  </si>
  <si>
    <t>Semana 6</t>
  </si>
  <si>
    <t>Ranking 6</t>
  </si>
  <si>
    <t>Semana 7</t>
  </si>
  <si>
    <t>Ranking 7</t>
  </si>
  <si>
    <t>Semana 8</t>
  </si>
  <si>
    <t>Ranking 8</t>
  </si>
  <si>
    <t>Semana 9</t>
  </si>
  <si>
    <t>Subt. M 3</t>
  </si>
  <si>
    <t>Ranking 9</t>
  </si>
  <si>
    <t>Ranking Mens.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</si>
</sst>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44A2-6A9A-442F-B635-0C9297E0559B}">
  <dimension ref="A1:AD22"/>
  <sheetViews>
    <sheetView tabSelected="1" workbookViewId="0">
      <pane xSplit="1" ySplit="1" topLeftCell="P2" activePane="bottomRight" state="frozen"/>
      <selection pane="topRight" activeCell="B1" sqref="B1"/>
      <selection pane="bottomLeft" activeCell="A2" sqref="A2"/>
      <selection pane="bottomRight" activeCell="AA22" sqref="AA22"/>
    </sheetView>
  </sheetViews>
  <sheetFormatPr defaultRowHeight="14.5" x14ac:dyDescent="0.35"/>
  <cols>
    <col min="1" max="1" width="16.1796875" bestFit="1" customWidth="1"/>
    <col min="11" max="11" width="8.1796875" bestFit="1" customWidth="1"/>
    <col min="12" max="13" width="8.1796875" customWidth="1"/>
    <col min="14" max="14" width="7.08984375" bestFit="1" customWidth="1"/>
    <col min="15" max="15" width="10.81640625" bestFit="1" customWidth="1"/>
    <col min="16" max="16" width="8.54296875" bestFit="1" customWidth="1"/>
    <col min="17" max="23" width="8.54296875" customWidth="1"/>
    <col min="24" max="24" width="13.90625" bestFit="1" customWidth="1"/>
    <col min="25" max="26" width="13.90625" customWidth="1"/>
    <col min="27" max="27" width="13.6328125" bestFit="1" customWidth="1"/>
    <col min="28" max="28" width="8.1796875" bestFit="1" customWidth="1"/>
    <col min="29" max="29" width="6.7265625" bestFit="1" customWidth="1"/>
    <col min="30" max="30" width="8.179687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44</v>
      </c>
      <c r="E1" t="s">
        <v>46</v>
      </c>
      <c r="F1" t="s">
        <v>48</v>
      </c>
      <c r="G1" t="s">
        <v>52</v>
      </c>
      <c r="H1" t="s">
        <v>54</v>
      </c>
      <c r="I1" t="s">
        <v>56</v>
      </c>
      <c r="J1" t="s">
        <v>58</v>
      </c>
      <c r="K1" t="s">
        <v>3</v>
      </c>
      <c r="L1" t="s">
        <v>49</v>
      </c>
      <c r="M1" t="s">
        <v>59</v>
      </c>
      <c r="N1" t="s">
        <v>4</v>
      </c>
      <c r="O1" t="s">
        <v>5</v>
      </c>
      <c r="P1" t="s">
        <v>6</v>
      </c>
      <c r="Q1" t="s">
        <v>45</v>
      </c>
      <c r="R1" t="s">
        <v>47</v>
      </c>
      <c r="S1" t="s">
        <v>50</v>
      </c>
      <c r="T1" t="s">
        <v>53</v>
      </c>
      <c r="U1" t="s">
        <v>55</v>
      </c>
      <c r="V1" t="s">
        <v>57</v>
      </c>
      <c r="W1" t="s">
        <v>60</v>
      </c>
      <c r="X1" t="s">
        <v>7</v>
      </c>
      <c r="Y1" t="s">
        <v>51</v>
      </c>
      <c r="Z1" t="s">
        <v>61</v>
      </c>
      <c r="AA1" t="s">
        <v>8</v>
      </c>
      <c r="AB1" t="s">
        <v>9</v>
      </c>
      <c r="AC1" t="s">
        <v>10</v>
      </c>
      <c r="AD1" t="s">
        <v>11</v>
      </c>
    </row>
    <row r="2" spans="1:30" x14ac:dyDescent="0.35">
      <c r="A2" t="s">
        <v>33</v>
      </c>
      <c r="B2">
        <v>695</v>
      </c>
      <c r="C2">
        <v>602</v>
      </c>
      <c r="D2">
        <v>689</v>
      </c>
      <c r="E2">
        <v>755</v>
      </c>
      <c r="F2">
        <v>456</v>
      </c>
      <c r="G2">
        <v>455</v>
      </c>
      <c r="H2">
        <v>696</v>
      </c>
      <c r="I2">
        <v>640</v>
      </c>
      <c r="J2">
        <v>853</v>
      </c>
      <c r="K2">
        <f>SUM(B2:E2)</f>
        <v>2741</v>
      </c>
      <c r="L2">
        <f>SUM(F2:I2)</f>
        <v>2247</v>
      </c>
      <c r="M2">
        <f>J2</f>
        <v>853</v>
      </c>
      <c r="N2">
        <f>SUM(K2:M2)</f>
        <v>5841</v>
      </c>
      <c r="O2">
        <v>1</v>
      </c>
      <c r="P2">
        <v>3</v>
      </c>
      <c r="Q2">
        <v>1</v>
      </c>
      <c r="R2">
        <v>1</v>
      </c>
      <c r="S2">
        <v>4</v>
      </c>
      <c r="T2">
        <v>3</v>
      </c>
      <c r="U2">
        <v>1</v>
      </c>
      <c r="V2">
        <v>2</v>
      </c>
      <c r="W2">
        <v>2</v>
      </c>
      <c r="X2">
        <v>1</v>
      </c>
      <c r="Y2">
        <v>1</v>
      </c>
      <c r="Z2">
        <v>2</v>
      </c>
      <c r="AA2">
        <v>1</v>
      </c>
      <c r="AB2" t="s">
        <v>12</v>
      </c>
      <c r="AC2" t="s">
        <v>13</v>
      </c>
      <c r="AD2" t="s">
        <v>14</v>
      </c>
    </row>
    <row r="3" spans="1:30" x14ac:dyDescent="0.35">
      <c r="A3" t="s">
        <v>15</v>
      </c>
      <c r="B3">
        <v>693</v>
      </c>
      <c r="C3">
        <v>528</v>
      </c>
      <c r="D3">
        <v>657</v>
      </c>
      <c r="E3">
        <v>618</v>
      </c>
      <c r="F3">
        <v>557</v>
      </c>
      <c r="G3">
        <v>667</v>
      </c>
      <c r="H3">
        <v>515</v>
      </c>
      <c r="I3">
        <v>38</v>
      </c>
      <c r="J3">
        <v>938</v>
      </c>
      <c r="K3">
        <f>SUM(B3:E3)</f>
        <v>2496</v>
      </c>
      <c r="L3">
        <f>SUM(F3:I3)</f>
        <v>1777</v>
      </c>
      <c r="M3">
        <f>J3</f>
        <v>938</v>
      </c>
      <c r="N3">
        <f>SUM(K3:M3)</f>
        <v>5211</v>
      </c>
      <c r="O3">
        <v>2</v>
      </c>
      <c r="P3">
        <v>6</v>
      </c>
      <c r="Q3">
        <v>2</v>
      </c>
      <c r="R3">
        <v>2</v>
      </c>
      <c r="S3">
        <v>2</v>
      </c>
      <c r="T3">
        <v>1</v>
      </c>
      <c r="U3">
        <v>4</v>
      </c>
      <c r="V3">
        <v>12</v>
      </c>
      <c r="W3">
        <v>1</v>
      </c>
      <c r="X3">
        <v>2</v>
      </c>
      <c r="Y3">
        <v>5</v>
      </c>
      <c r="Z3">
        <v>1</v>
      </c>
      <c r="AA3">
        <v>2</v>
      </c>
      <c r="AB3" t="s">
        <v>16</v>
      </c>
      <c r="AC3" t="s">
        <v>17</v>
      </c>
      <c r="AD3" t="s">
        <v>18</v>
      </c>
    </row>
    <row r="4" spans="1:30" x14ac:dyDescent="0.35">
      <c r="A4" t="s">
        <v>19</v>
      </c>
      <c r="B4">
        <v>524</v>
      </c>
      <c r="C4">
        <v>623</v>
      </c>
      <c r="D4">
        <v>614</v>
      </c>
      <c r="E4">
        <v>494</v>
      </c>
      <c r="F4">
        <v>438</v>
      </c>
      <c r="G4">
        <v>189</v>
      </c>
      <c r="H4">
        <v>553</v>
      </c>
      <c r="I4">
        <v>651</v>
      </c>
      <c r="J4">
        <v>569</v>
      </c>
      <c r="K4">
        <f>SUM(B4:E4)</f>
        <v>2255</v>
      </c>
      <c r="L4">
        <f>SUM(F4:I4)</f>
        <v>1831</v>
      </c>
      <c r="M4">
        <f>J4</f>
        <v>569</v>
      </c>
      <c r="N4">
        <f>SUM(K4:M4)</f>
        <v>4655</v>
      </c>
      <c r="O4">
        <v>4</v>
      </c>
      <c r="P4">
        <v>2</v>
      </c>
      <c r="Q4">
        <v>3</v>
      </c>
      <c r="R4">
        <v>3</v>
      </c>
      <c r="S4">
        <v>5</v>
      </c>
      <c r="T4">
        <v>12</v>
      </c>
      <c r="U4">
        <v>2</v>
      </c>
      <c r="V4">
        <v>1</v>
      </c>
      <c r="W4">
        <v>4</v>
      </c>
      <c r="X4">
        <v>3</v>
      </c>
      <c r="Y4">
        <v>4</v>
      </c>
      <c r="Z4">
        <v>4</v>
      </c>
      <c r="AA4">
        <v>3</v>
      </c>
      <c r="AB4" t="s">
        <v>16</v>
      </c>
      <c r="AC4" t="s">
        <v>13</v>
      </c>
      <c r="AD4" t="s">
        <v>14</v>
      </c>
    </row>
    <row r="5" spans="1:30" x14ac:dyDescent="0.35">
      <c r="A5" t="s">
        <v>34</v>
      </c>
      <c r="B5">
        <v>576</v>
      </c>
      <c r="C5">
        <v>554</v>
      </c>
      <c r="D5">
        <v>563</v>
      </c>
      <c r="E5">
        <v>324</v>
      </c>
      <c r="F5">
        <v>301</v>
      </c>
      <c r="G5">
        <v>445</v>
      </c>
      <c r="H5">
        <v>534</v>
      </c>
      <c r="I5">
        <v>640</v>
      </c>
      <c r="J5">
        <v>325</v>
      </c>
      <c r="K5">
        <f>SUM(B5:E5)</f>
        <v>2017</v>
      </c>
      <c r="L5">
        <f>SUM(F5:I5)</f>
        <v>1920</v>
      </c>
      <c r="M5">
        <f>J5</f>
        <v>325</v>
      </c>
      <c r="N5">
        <f>SUM(K5:M5)</f>
        <v>4262</v>
      </c>
      <c r="O5">
        <v>3</v>
      </c>
      <c r="P5">
        <v>5</v>
      </c>
      <c r="Q5">
        <v>4</v>
      </c>
      <c r="R5">
        <v>6</v>
      </c>
      <c r="S5">
        <v>6</v>
      </c>
      <c r="T5">
        <v>4</v>
      </c>
      <c r="U5">
        <v>3</v>
      </c>
      <c r="V5">
        <v>3</v>
      </c>
      <c r="W5">
        <v>8</v>
      </c>
      <c r="X5">
        <v>4</v>
      </c>
      <c r="Y5">
        <v>2</v>
      </c>
      <c r="Z5">
        <v>8</v>
      </c>
      <c r="AA5">
        <v>4</v>
      </c>
      <c r="AB5" t="s">
        <v>12</v>
      </c>
      <c r="AC5" t="s">
        <v>13</v>
      </c>
      <c r="AD5" t="s">
        <v>14</v>
      </c>
    </row>
    <row r="6" spans="1:30" x14ac:dyDescent="0.35">
      <c r="A6" t="s">
        <v>20</v>
      </c>
      <c r="B6">
        <v>411</v>
      </c>
      <c r="C6">
        <v>645</v>
      </c>
      <c r="D6">
        <v>427</v>
      </c>
      <c r="E6">
        <v>393</v>
      </c>
      <c r="F6">
        <v>481</v>
      </c>
      <c r="G6">
        <v>491</v>
      </c>
      <c r="H6">
        <v>456</v>
      </c>
      <c r="I6">
        <v>319</v>
      </c>
      <c r="J6">
        <v>623</v>
      </c>
      <c r="K6">
        <f>SUM(B6:E6)</f>
        <v>1876</v>
      </c>
      <c r="L6">
        <f>SUM(F6:I6)</f>
        <v>1747</v>
      </c>
      <c r="M6">
        <f>J6</f>
        <v>623</v>
      </c>
      <c r="N6">
        <f>SUM(K6:M6)</f>
        <v>4246</v>
      </c>
      <c r="O6">
        <v>5</v>
      </c>
      <c r="P6">
        <v>1</v>
      </c>
      <c r="Q6">
        <v>5</v>
      </c>
      <c r="R6">
        <v>4</v>
      </c>
      <c r="S6">
        <v>3</v>
      </c>
      <c r="T6">
        <v>2</v>
      </c>
      <c r="U6">
        <v>5</v>
      </c>
      <c r="V6">
        <v>9</v>
      </c>
      <c r="W6">
        <v>3</v>
      </c>
      <c r="X6">
        <v>5</v>
      </c>
      <c r="Y6">
        <v>6</v>
      </c>
      <c r="Z6">
        <v>3</v>
      </c>
      <c r="AA6">
        <v>5</v>
      </c>
      <c r="AB6" t="s">
        <v>12</v>
      </c>
      <c r="AC6" t="s">
        <v>21</v>
      </c>
      <c r="AD6" t="s">
        <v>18</v>
      </c>
    </row>
    <row r="7" spans="1:30" x14ac:dyDescent="0.35">
      <c r="A7" t="s">
        <v>35</v>
      </c>
      <c r="B7">
        <v>406</v>
      </c>
      <c r="C7">
        <v>579</v>
      </c>
      <c r="D7">
        <v>328</v>
      </c>
      <c r="E7">
        <v>287</v>
      </c>
      <c r="F7">
        <v>648</v>
      </c>
      <c r="G7">
        <v>354</v>
      </c>
      <c r="H7">
        <v>455</v>
      </c>
      <c r="I7">
        <v>424</v>
      </c>
      <c r="J7">
        <v>308</v>
      </c>
      <c r="K7">
        <f>SUM(B7:E7)</f>
        <v>1600</v>
      </c>
      <c r="L7">
        <f>SUM(F7:I7)</f>
        <v>1881</v>
      </c>
      <c r="M7">
        <f>J7</f>
        <v>308</v>
      </c>
      <c r="N7">
        <f>SUM(K7:M7)</f>
        <v>3789</v>
      </c>
      <c r="O7">
        <v>6</v>
      </c>
      <c r="P7">
        <v>4</v>
      </c>
      <c r="Q7">
        <v>6</v>
      </c>
      <c r="R7">
        <v>7</v>
      </c>
      <c r="S7">
        <v>1</v>
      </c>
      <c r="T7">
        <v>5</v>
      </c>
      <c r="U7">
        <v>6</v>
      </c>
      <c r="V7">
        <v>5</v>
      </c>
      <c r="W7">
        <v>9</v>
      </c>
      <c r="X7">
        <v>6</v>
      </c>
      <c r="Y7">
        <v>3</v>
      </c>
      <c r="Z7">
        <v>9</v>
      </c>
      <c r="AA7">
        <v>6</v>
      </c>
      <c r="AB7" t="s">
        <v>16</v>
      </c>
      <c r="AC7" t="s">
        <v>21</v>
      </c>
      <c r="AD7" t="s">
        <v>22</v>
      </c>
    </row>
    <row r="8" spans="1:30" x14ac:dyDescent="0.35">
      <c r="A8" t="s">
        <v>25</v>
      </c>
      <c r="B8">
        <v>0</v>
      </c>
      <c r="C8">
        <v>225</v>
      </c>
      <c r="D8">
        <v>192</v>
      </c>
      <c r="E8">
        <v>381</v>
      </c>
      <c r="F8">
        <v>177</v>
      </c>
      <c r="G8">
        <v>306</v>
      </c>
      <c r="H8">
        <v>297</v>
      </c>
      <c r="I8">
        <v>395</v>
      </c>
      <c r="J8">
        <v>131</v>
      </c>
      <c r="K8">
        <f>SUM(B8:E8)</f>
        <v>798</v>
      </c>
      <c r="L8">
        <f>SUM(F8:I8)</f>
        <v>1175</v>
      </c>
      <c r="M8">
        <f>J8</f>
        <v>131</v>
      </c>
      <c r="N8">
        <f>SUM(K8:M8)</f>
        <v>2104</v>
      </c>
      <c r="O8">
        <v>13</v>
      </c>
      <c r="P8">
        <v>7</v>
      </c>
      <c r="Q8">
        <v>8</v>
      </c>
      <c r="R8">
        <v>5</v>
      </c>
      <c r="S8">
        <v>10</v>
      </c>
      <c r="T8">
        <v>6</v>
      </c>
      <c r="U8">
        <v>7</v>
      </c>
      <c r="V8">
        <v>6</v>
      </c>
      <c r="W8">
        <v>11</v>
      </c>
      <c r="X8">
        <v>8</v>
      </c>
      <c r="Y8">
        <v>7</v>
      </c>
      <c r="Z8">
        <v>11</v>
      </c>
      <c r="AA8">
        <v>7</v>
      </c>
      <c r="AB8" t="s">
        <v>16</v>
      </c>
      <c r="AC8" t="s">
        <v>13</v>
      </c>
      <c r="AD8" t="s">
        <v>22</v>
      </c>
    </row>
    <row r="9" spans="1:30" x14ac:dyDescent="0.35">
      <c r="A9" t="s">
        <v>23</v>
      </c>
      <c r="B9">
        <v>345</v>
      </c>
      <c r="C9">
        <v>223</v>
      </c>
      <c r="D9">
        <v>204</v>
      </c>
      <c r="E9">
        <v>238</v>
      </c>
      <c r="F9">
        <v>70</v>
      </c>
      <c r="G9">
        <v>225</v>
      </c>
      <c r="H9">
        <v>287</v>
      </c>
      <c r="I9">
        <v>362</v>
      </c>
      <c r="J9">
        <v>131</v>
      </c>
      <c r="K9">
        <f>SUM(B9:E9)</f>
        <v>1010</v>
      </c>
      <c r="L9">
        <f>SUM(F9:I9)</f>
        <v>944</v>
      </c>
      <c r="M9">
        <f>J9</f>
        <v>131</v>
      </c>
      <c r="N9">
        <f>SUM(K9:M9)</f>
        <v>2085</v>
      </c>
      <c r="O9">
        <v>7</v>
      </c>
      <c r="P9">
        <v>8</v>
      </c>
      <c r="Q9">
        <v>7</v>
      </c>
      <c r="R9">
        <v>8</v>
      </c>
      <c r="S9">
        <v>13</v>
      </c>
      <c r="T9">
        <v>9</v>
      </c>
      <c r="U9">
        <v>8</v>
      </c>
      <c r="V9">
        <v>8</v>
      </c>
      <c r="W9">
        <v>12</v>
      </c>
      <c r="X9">
        <v>7</v>
      </c>
      <c r="Y9">
        <v>9</v>
      </c>
      <c r="Z9">
        <v>12</v>
      </c>
      <c r="AA9">
        <v>8</v>
      </c>
      <c r="AB9" t="s">
        <v>12</v>
      </c>
      <c r="AC9" t="s">
        <v>13</v>
      </c>
      <c r="AD9" t="s">
        <v>22</v>
      </c>
    </row>
    <row r="10" spans="1:30" x14ac:dyDescent="0.35">
      <c r="A10" t="s">
        <v>37</v>
      </c>
      <c r="B10">
        <v>100</v>
      </c>
      <c r="C10">
        <v>111</v>
      </c>
      <c r="D10">
        <v>111</v>
      </c>
      <c r="E10">
        <v>207</v>
      </c>
      <c r="F10">
        <v>252</v>
      </c>
      <c r="G10">
        <v>179</v>
      </c>
      <c r="H10">
        <v>256</v>
      </c>
      <c r="I10">
        <v>131</v>
      </c>
      <c r="J10">
        <v>341</v>
      </c>
      <c r="K10">
        <f>SUM(B10:E10)</f>
        <v>529</v>
      </c>
      <c r="L10">
        <f>SUM(F10:I10)</f>
        <v>818</v>
      </c>
      <c r="M10">
        <f>J10</f>
        <v>341</v>
      </c>
      <c r="N10">
        <f>SUM(K10:M10)</f>
        <v>1688</v>
      </c>
      <c r="O10">
        <v>8</v>
      </c>
      <c r="P10">
        <v>11</v>
      </c>
      <c r="Q10">
        <v>12</v>
      </c>
      <c r="R10">
        <v>9</v>
      </c>
      <c r="S10">
        <v>9</v>
      </c>
      <c r="T10">
        <v>13</v>
      </c>
      <c r="U10">
        <v>9</v>
      </c>
      <c r="V10">
        <v>11</v>
      </c>
      <c r="W10">
        <v>7</v>
      </c>
      <c r="X10">
        <v>9</v>
      </c>
      <c r="Y10">
        <v>10</v>
      </c>
      <c r="Z10">
        <v>7</v>
      </c>
      <c r="AA10">
        <v>9</v>
      </c>
      <c r="AB10" t="s">
        <v>16</v>
      </c>
      <c r="AC10" t="s">
        <v>13</v>
      </c>
      <c r="AD10" t="s">
        <v>18</v>
      </c>
    </row>
    <row r="11" spans="1:30" x14ac:dyDescent="0.35">
      <c r="A11" t="s">
        <v>38</v>
      </c>
      <c r="B11">
        <v>28</v>
      </c>
      <c r="C11">
        <v>0</v>
      </c>
      <c r="D11">
        <v>0</v>
      </c>
      <c r="E11">
        <v>0</v>
      </c>
      <c r="F11">
        <v>139</v>
      </c>
      <c r="G11">
        <v>280</v>
      </c>
      <c r="H11">
        <v>231</v>
      </c>
      <c r="I11">
        <v>385</v>
      </c>
      <c r="J11">
        <v>427</v>
      </c>
      <c r="K11">
        <f>SUM(B11:E11)</f>
        <v>28</v>
      </c>
      <c r="L11">
        <f>SUM(F11:I11)</f>
        <v>1035</v>
      </c>
      <c r="M11">
        <f>J11</f>
        <v>427</v>
      </c>
      <c r="N11">
        <f>SUM(K11:M11)</f>
        <v>1490</v>
      </c>
      <c r="O11">
        <v>12</v>
      </c>
      <c r="P11">
        <v>13</v>
      </c>
      <c r="Q11">
        <v>13</v>
      </c>
      <c r="R11">
        <v>13</v>
      </c>
      <c r="S11">
        <v>12</v>
      </c>
      <c r="T11">
        <v>7</v>
      </c>
      <c r="U11">
        <v>10</v>
      </c>
      <c r="V11">
        <v>7</v>
      </c>
      <c r="W11">
        <v>6</v>
      </c>
      <c r="X11">
        <v>16</v>
      </c>
      <c r="Y11">
        <v>8</v>
      </c>
      <c r="Z11">
        <v>6</v>
      </c>
      <c r="AA11">
        <v>10</v>
      </c>
      <c r="AB11" t="s">
        <v>16</v>
      </c>
      <c r="AC11" t="s">
        <v>21</v>
      </c>
      <c r="AD11" t="s">
        <v>18</v>
      </c>
    </row>
    <row r="12" spans="1:30" x14ac:dyDescent="0.35">
      <c r="A12" t="s">
        <v>24</v>
      </c>
      <c r="B12">
        <v>62</v>
      </c>
      <c r="C12">
        <v>222</v>
      </c>
      <c r="D12">
        <v>148</v>
      </c>
      <c r="E12">
        <v>64</v>
      </c>
      <c r="F12">
        <v>285</v>
      </c>
      <c r="G12">
        <v>199</v>
      </c>
      <c r="H12">
        <v>0</v>
      </c>
      <c r="I12">
        <v>0</v>
      </c>
      <c r="J12">
        <v>141</v>
      </c>
      <c r="K12">
        <f>SUM(B12:E12)</f>
        <v>496</v>
      </c>
      <c r="L12">
        <f>SUM(F12:I12)</f>
        <v>484</v>
      </c>
      <c r="M12">
        <f>J12</f>
        <v>141</v>
      </c>
      <c r="N12">
        <f>SUM(K12:M12)</f>
        <v>1121</v>
      </c>
      <c r="O12">
        <v>10</v>
      </c>
      <c r="P12">
        <v>9</v>
      </c>
      <c r="Q12">
        <v>10</v>
      </c>
      <c r="R12">
        <v>10</v>
      </c>
      <c r="S12">
        <v>7</v>
      </c>
      <c r="T12">
        <v>10</v>
      </c>
      <c r="U12">
        <v>13</v>
      </c>
      <c r="V12">
        <v>13</v>
      </c>
      <c r="W12">
        <v>10</v>
      </c>
      <c r="X12">
        <v>11</v>
      </c>
      <c r="Y12">
        <v>12</v>
      </c>
      <c r="Z12">
        <v>10</v>
      </c>
      <c r="AA12">
        <v>11</v>
      </c>
      <c r="AB12" t="s">
        <v>12</v>
      </c>
      <c r="AC12" t="s">
        <v>13</v>
      </c>
      <c r="AD12" t="s">
        <v>18</v>
      </c>
    </row>
    <row r="13" spans="1:30" x14ac:dyDescent="0.35">
      <c r="A13" t="s">
        <v>36</v>
      </c>
      <c r="B13">
        <v>62</v>
      </c>
      <c r="C13">
        <v>218</v>
      </c>
      <c r="D13">
        <v>161</v>
      </c>
      <c r="E13">
        <v>62</v>
      </c>
      <c r="F13">
        <v>282</v>
      </c>
      <c r="G13">
        <v>198</v>
      </c>
      <c r="H13">
        <v>0</v>
      </c>
      <c r="I13">
        <v>0</v>
      </c>
      <c r="J13">
        <v>0</v>
      </c>
      <c r="K13">
        <f>SUM(B13:E13)</f>
        <v>503</v>
      </c>
      <c r="L13">
        <f>SUM(F13:I13)</f>
        <v>480</v>
      </c>
      <c r="M13">
        <f>J13</f>
        <v>0</v>
      </c>
      <c r="N13">
        <f>SUM(K13:M13)</f>
        <v>983</v>
      </c>
      <c r="O13">
        <v>9</v>
      </c>
      <c r="P13">
        <v>10</v>
      </c>
      <c r="Q13">
        <v>9</v>
      </c>
      <c r="R13">
        <v>11</v>
      </c>
      <c r="S13">
        <v>8</v>
      </c>
      <c r="T13">
        <v>11</v>
      </c>
      <c r="U13">
        <v>13</v>
      </c>
      <c r="V13">
        <v>13</v>
      </c>
      <c r="W13">
        <v>15</v>
      </c>
      <c r="X13">
        <v>10</v>
      </c>
      <c r="Y13">
        <v>13</v>
      </c>
      <c r="Z13">
        <v>15</v>
      </c>
      <c r="AA13">
        <v>12</v>
      </c>
      <c r="AB13" t="s">
        <v>16</v>
      </c>
      <c r="AC13" t="s">
        <v>13</v>
      </c>
      <c r="AD13" t="s">
        <v>18</v>
      </c>
    </row>
    <row r="14" spans="1:30" x14ac:dyDescent="0.35">
      <c r="A14" t="s">
        <v>39</v>
      </c>
      <c r="B14">
        <v>0</v>
      </c>
      <c r="C14">
        <v>0</v>
      </c>
      <c r="D14">
        <v>122</v>
      </c>
      <c r="E14">
        <v>23</v>
      </c>
      <c r="F14">
        <v>141</v>
      </c>
      <c r="G14">
        <v>168</v>
      </c>
      <c r="H14">
        <v>139</v>
      </c>
      <c r="I14">
        <v>160</v>
      </c>
      <c r="J14">
        <v>125</v>
      </c>
      <c r="K14">
        <f>SUM(B14:E14)</f>
        <v>145</v>
      </c>
      <c r="L14">
        <f>SUM(F14:I14)</f>
        <v>608</v>
      </c>
      <c r="M14">
        <f>J14</f>
        <v>125</v>
      </c>
      <c r="N14">
        <f>SUM(K14:M14)</f>
        <v>878</v>
      </c>
      <c r="O14">
        <v>13</v>
      </c>
      <c r="P14">
        <v>13</v>
      </c>
      <c r="Q14">
        <v>11</v>
      </c>
      <c r="R14">
        <v>13</v>
      </c>
      <c r="S14">
        <v>11</v>
      </c>
      <c r="T14">
        <v>14</v>
      </c>
      <c r="U14">
        <v>11</v>
      </c>
      <c r="V14">
        <v>10</v>
      </c>
      <c r="W14">
        <v>13</v>
      </c>
      <c r="X14">
        <v>12</v>
      </c>
      <c r="Y14">
        <v>11</v>
      </c>
      <c r="Z14">
        <v>13</v>
      </c>
      <c r="AA14">
        <v>13</v>
      </c>
      <c r="AB14" t="s">
        <v>12</v>
      </c>
      <c r="AC14" t="s">
        <v>17</v>
      </c>
      <c r="AD14" t="s">
        <v>14</v>
      </c>
    </row>
    <row r="15" spans="1:30" x14ac:dyDescent="0.35">
      <c r="A15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443</v>
      </c>
      <c r="J15">
        <v>428</v>
      </c>
      <c r="K15">
        <f>SUM(B15:E15)</f>
        <v>0</v>
      </c>
      <c r="L15">
        <f>SUM(F15:I15)</f>
        <v>443</v>
      </c>
      <c r="M15">
        <f>J15</f>
        <v>428</v>
      </c>
      <c r="N15">
        <f>SUM(K15:M15)</f>
        <v>871</v>
      </c>
      <c r="O15">
        <v>13</v>
      </c>
      <c r="P15">
        <v>13</v>
      </c>
      <c r="Q15">
        <v>13</v>
      </c>
      <c r="R15">
        <v>13</v>
      </c>
      <c r="S15">
        <v>14</v>
      </c>
      <c r="T15">
        <v>15</v>
      </c>
      <c r="U15">
        <v>13</v>
      </c>
      <c r="V15">
        <v>4</v>
      </c>
      <c r="W15">
        <v>5</v>
      </c>
      <c r="X15">
        <v>17</v>
      </c>
      <c r="Y15">
        <v>14</v>
      </c>
      <c r="Z15">
        <v>5</v>
      </c>
      <c r="AA15">
        <v>14</v>
      </c>
      <c r="AB15" t="s">
        <v>16</v>
      </c>
      <c r="AC15" t="s">
        <v>21</v>
      </c>
      <c r="AD15" t="s">
        <v>31</v>
      </c>
    </row>
    <row r="16" spans="1:30" x14ac:dyDescent="0.35">
      <c r="A16" t="s">
        <v>28</v>
      </c>
      <c r="B16">
        <v>0</v>
      </c>
      <c r="C16">
        <v>0</v>
      </c>
      <c r="D16">
        <v>0</v>
      </c>
      <c r="E16">
        <v>59</v>
      </c>
      <c r="F16">
        <v>0</v>
      </c>
      <c r="G16">
        <v>254</v>
      </c>
      <c r="H16">
        <v>62</v>
      </c>
      <c r="I16">
        <v>0</v>
      </c>
      <c r="J16">
        <v>102</v>
      </c>
      <c r="K16">
        <f>SUM(B16:E16)</f>
        <v>59</v>
      </c>
      <c r="L16">
        <f>SUM(F16:I16)</f>
        <v>316</v>
      </c>
      <c r="M16">
        <f>J16</f>
        <v>102</v>
      </c>
      <c r="N16">
        <f>SUM(K16:M16)</f>
        <v>477</v>
      </c>
      <c r="O16">
        <v>13</v>
      </c>
      <c r="P16">
        <v>13</v>
      </c>
      <c r="Q16">
        <v>13</v>
      </c>
      <c r="R16">
        <v>12</v>
      </c>
      <c r="S16">
        <v>14</v>
      </c>
      <c r="T16">
        <v>8</v>
      </c>
      <c r="U16">
        <v>12</v>
      </c>
      <c r="V16">
        <v>13</v>
      </c>
      <c r="W16">
        <v>14</v>
      </c>
      <c r="X16">
        <v>14</v>
      </c>
      <c r="Y16">
        <v>15</v>
      </c>
      <c r="Z16">
        <v>14</v>
      </c>
      <c r="AA16">
        <v>15</v>
      </c>
      <c r="AB16" t="s">
        <v>12</v>
      </c>
      <c r="AC16" t="s">
        <v>13</v>
      </c>
      <c r="AD16" t="s">
        <v>18</v>
      </c>
    </row>
    <row r="17" spans="1:30" x14ac:dyDescent="0.35">
      <c r="A17" t="s">
        <v>26</v>
      </c>
      <c r="B17">
        <v>0</v>
      </c>
      <c r="C17">
        <v>84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f>SUM(B17:E17)</f>
        <v>84</v>
      </c>
      <c r="L17">
        <f>SUM(F17:I17)</f>
        <v>0</v>
      </c>
      <c r="M17">
        <f>J17</f>
        <v>0</v>
      </c>
      <c r="N17">
        <f>SUM(K17:M17)</f>
        <v>84</v>
      </c>
      <c r="O17">
        <v>13</v>
      </c>
      <c r="P17">
        <v>12</v>
      </c>
      <c r="Q17">
        <v>13</v>
      </c>
      <c r="R17">
        <v>13</v>
      </c>
      <c r="S17">
        <v>14</v>
      </c>
      <c r="T17">
        <v>15</v>
      </c>
      <c r="U17">
        <v>13</v>
      </c>
      <c r="V17">
        <v>13</v>
      </c>
      <c r="W17">
        <v>15</v>
      </c>
      <c r="X17">
        <v>13</v>
      </c>
      <c r="Y17">
        <v>16</v>
      </c>
      <c r="Z17">
        <v>15</v>
      </c>
      <c r="AA17">
        <v>16</v>
      </c>
      <c r="AB17" t="s">
        <v>12</v>
      </c>
      <c r="AC17" t="s">
        <v>21</v>
      </c>
      <c r="AD17" t="s">
        <v>22</v>
      </c>
    </row>
    <row r="18" spans="1:30" x14ac:dyDescent="0.35">
      <c r="A18" t="s">
        <v>27</v>
      </c>
      <c r="B18">
        <v>39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f>SUM(B18:E18)</f>
        <v>39</v>
      </c>
      <c r="L18">
        <f>SUM(F18:I18)</f>
        <v>0</v>
      </c>
      <c r="M18">
        <f>J18</f>
        <v>0</v>
      </c>
      <c r="N18">
        <f>SUM(K18:M18)</f>
        <v>39</v>
      </c>
      <c r="O18">
        <v>11</v>
      </c>
      <c r="P18">
        <v>13</v>
      </c>
      <c r="Q18">
        <v>13</v>
      </c>
      <c r="R18">
        <v>13</v>
      </c>
      <c r="S18">
        <v>14</v>
      </c>
      <c r="T18">
        <v>15</v>
      </c>
      <c r="U18">
        <v>13</v>
      </c>
      <c r="V18">
        <v>13</v>
      </c>
      <c r="W18">
        <v>15</v>
      </c>
      <c r="X18">
        <v>15</v>
      </c>
      <c r="Y18">
        <v>16</v>
      </c>
      <c r="Z18">
        <v>15</v>
      </c>
      <c r="AA18">
        <v>17</v>
      </c>
      <c r="AB18" t="s">
        <v>12</v>
      </c>
      <c r="AC18" t="s">
        <v>13</v>
      </c>
      <c r="AD18" t="s">
        <v>18</v>
      </c>
    </row>
    <row r="19" spans="1:30" x14ac:dyDescent="0.35">
      <c r="A19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f>SUM(B19:E19)</f>
        <v>0</v>
      </c>
      <c r="L19">
        <f>SUM(F19:I19)</f>
        <v>0</v>
      </c>
      <c r="M19">
        <f>J19</f>
        <v>0</v>
      </c>
      <c r="N19">
        <f>SUM(K19:M19)</f>
        <v>0</v>
      </c>
      <c r="O19">
        <v>13</v>
      </c>
      <c r="P19">
        <v>13</v>
      </c>
      <c r="Q19">
        <v>13</v>
      </c>
      <c r="R19">
        <v>13</v>
      </c>
      <c r="S19">
        <v>14</v>
      </c>
      <c r="T19">
        <v>15</v>
      </c>
      <c r="U19">
        <v>13</v>
      </c>
      <c r="V19">
        <v>13</v>
      </c>
      <c r="W19">
        <v>15</v>
      </c>
      <c r="X19">
        <v>17</v>
      </c>
      <c r="Y19">
        <v>16</v>
      </c>
      <c r="Z19">
        <v>15</v>
      </c>
      <c r="AA19">
        <v>18</v>
      </c>
      <c r="AB19" t="s">
        <v>16</v>
      </c>
      <c r="AC19" t="s">
        <v>13</v>
      </c>
      <c r="AD19" t="s">
        <v>18</v>
      </c>
    </row>
    <row r="20" spans="1:30" x14ac:dyDescent="0.35">
      <c r="A20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f>SUM(B20:E20)</f>
        <v>0</v>
      </c>
      <c r="L20">
        <f>SUM(F20:I20)</f>
        <v>0</v>
      </c>
      <c r="M20">
        <f>J20</f>
        <v>0</v>
      </c>
      <c r="N20">
        <f>SUM(K20:M20)</f>
        <v>0</v>
      </c>
      <c r="O20">
        <v>13</v>
      </c>
      <c r="P20">
        <v>13</v>
      </c>
      <c r="Q20">
        <v>13</v>
      </c>
      <c r="R20">
        <v>13</v>
      </c>
      <c r="S20">
        <v>14</v>
      </c>
      <c r="T20">
        <v>15</v>
      </c>
      <c r="U20">
        <v>13</v>
      </c>
      <c r="V20">
        <v>13</v>
      </c>
      <c r="W20">
        <v>15</v>
      </c>
      <c r="X20">
        <v>17</v>
      </c>
      <c r="Y20">
        <v>16</v>
      </c>
      <c r="Z20">
        <v>15</v>
      </c>
      <c r="AA20">
        <v>18</v>
      </c>
      <c r="AB20" t="s">
        <v>12</v>
      </c>
      <c r="AC20" t="s">
        <v>13</v>
      </c>
      <c r="AD20" t="s">
        <v>29</v>
      </c>
    </row>
    <row r="21" spans="1:30" x14ac:dyDescent="0.35">
      <c r="A2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f>SUM(B21:E21)</f>
        <v>0</v>
      </c>
      <c r="L21">
        <f>SUM(F21:I21)</f>
        <v>0</v>
      </c>
      <c r="M21">
        <f>J21</f>
        <v>0</v>
      </c>
      <c r="N21">
        <f>SUM(K21:M21)</f>
        <v>0</v>
      </c>
      <c r="O21">
        <v>13</v>
      </c>
      <c r="P21">
        <v>13</v>
      </c>
      <c r="Q21">
        <v>13</v>
      </c>
      <c r="R21">
        <v>13</v>
      </c>
      <c r="S21">
        <v>14</v>
      </c>
      <c r="T21">
        <v>15</v>
      </c>
      <c r="U21">
        <v>13</v>
      </c>
      <c r="V21">
        <v>13</v>
      </c>
      <c r="W21">
        <v>15</v>
      </c>
      <c r="X21">
        <v>17</v>
      </c>
      <c r="Y21">
        <v>16</v>
      </c>
      <c r="Z21">
        <v>15</v>
      </c>
      <c r="AA21">
        <v>18</v>
      </c>
      <c r="AB21" t="s">
        <v>16</v>
      </c>
      <c r="AC21" t="s">
        <v>13</v>
      </c>
      <c r="AD21" t="s">
        <v>29</v>
      </c>
    </row>
    <row r="22" spans="1:30" x14ac:dyDescent="0.35">
      <c r="A22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f>SUM(B22:E22)</f>
        <v>0</v>
      </c>
      <c r="L22">
        <f>SUM(F22:I22)</f>
        <v>0</v>
      </c>
      <c r="M22">
        <f>J22</f>
        <v>0</v>
      </c>
      <c r="N22">
        <f>SUM(K22:M22)</f>
        <v>0</v>
      </c>
      <c r="O22">
        <v>13</v>
      </c>
      <c r="P22">
        <v>13</v>
      </c>
      <c r="Q22">
        <v>13</v>
      </c>
      <c r="R22">
        <v>13</v>
      </c>
      <c r="S22">
        <v>14</v>
      </c>
      <c r="T22">
        <v>15</v>
      </c>
      <c r="U22">
        <v>13</v>
      </c>
      <c r="V22">
        <v>13</v>
      </c>
      <c r="W22">
        <v>15</v>
      </c>
      <c r="X22">
        <v>17</v>
      </c>
      <c r="Y22">
        <v>16</v>
      </c>
      <c r="Z22">
        <v>15</v>
      </c>
      <c r="AA22">
        <v>18</v>
      </c>
      <c r="AB22" t="s">
        <v>12</v>
      </c>
      <c r="AC22" t="s">
        <v>21</v>
      </c>
      <c r="AD22" t="s">
        <v>32</v>
      </c>
    </row>
  </sheetData>
  <autoFilter ref="A1:AD22" xr:uid="{A5432D6A-F34B-4E36-BD49-ACE58FF91028}">
    <sortState xmlns:xlrd2="http://schemas.microsoft.com/office/spreadsheetml/2017/richdata2" ref="A2:AD22">
      <sortCondition descending="1" ref="N1:N22"/>
    </sortState>
  </autoFilter>
  <sortState xmlns:xlrd2="http://schemas.microsoft.com/office/spreadsheetml/2017/richdata2" ref="A2:AD23">
    <sortCondition descending="1" ref="L1:L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 Sarrion Rafael (TlP/TEF1)</dc:creator>
  <cp:lastModifiedBy>Martinez Sarrion Rafael (TlP/TEF1)</cp:lastModifiedBy>
  <dcterms:created xsi:type="dcterms:W3CDTF">2026-05-06T16:20:30Z</dcterms:created>
  <dcterms:modified xsi:type="dcterms:W3CDTF">2026-06-15T23:12:07Z</dcterms:modified>
</cp:coreProperties>
</file>